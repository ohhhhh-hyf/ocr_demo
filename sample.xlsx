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8720" tabRatio="600" firstSheet="0" activeTab="0" autoFilterDateGrouping="1"/>
  </bookViews>
  <sheets>
    <sheet xmlns:r="http://schemas.openxmlformats.org/officeDocument/2006/relationships" name="竞品对比" sheetId="1" state="visible" r:id="rId1"/>
    <sheet xmlns:r="http://schemas.openxmlformats.org/officeDocument/2006/relationships" name="指标统计" sheetId="2" state="hidden" r:id="rId2"/>
  </sheets>
  <definedNames/>
  <calcPr calcId="191029" fullCalcOnLoad="1"/>
</workbook>
</file>

<file path=xl/styles.xml><?xml version="1.0" encoding="utf-8"?>
<styleSheet xmlns="http://schemas.openxmlformats.org/spreadsheetml/2006/main">
  <numFmts count="1">
    <numFmt numFmtId="164" formatCode="0.0&quot;秒&quot;"/>
  </numFmts>
  <fonts count="5">
    <font>
      <name val="宋体"/>
      <charset val="134"/>
      <color theme="1"/>
      <sz val="11"/>
      <scheme val="minor"/>
    </font>
    <font>
      <name val="微软雅黑"/>
      <charset val="134"/>
      <family val="2"/>
      <color rgb="FF000000"/>
      <sz val="10"/>
    </font>
    <font>
      <name val="宋体"/>
      <charset val="134"/>
      <family val="3"/>
      <color rgb="FF000000"/>
      <sz val="11"/>
    </font>
    <font>
      <name val="微软雅黑"/>
      <charset val="134"/>
      <family val="2"/>
      <color theme="1"/>
      <sz val="10"/>
    </font>
    <font>
      <name val="宋体"/>
      <charset val="134"/>
      <family val="3"/>
      <sz val="9"/>
      <scheme val="minor"/>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horizontal="left" vertical="center" wrapText="1"/>
    </xf>
    <xf numFmtId="10" fontId="0" fillId="0" borderId="0" applyAlignment="1" pivotButton="0" quotePrefix="0" xfId="0">
      <alignment vertical="center"/>
    </xf>
    <xf numFmtId="0" fontId="3" fillId="0" borderId="0" applyAlignment="1" pivotButton="0" quotePrefix="0" xfId="0">
      <alignment vertical="center" wrapText="1"/>
    </xf>
    <xf numFmtId="0" fontId="3" fillId="0" borderId="0"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vertical="top" wrapText="1"/>
    </xf>
    <xf numFmtId="0" fontId="2" fillId="0" borderId="0" applyAlignment="1" pivotButton="0" quotePrefix="0" xfId="0">
      <alignment horizontal="center" vertical="center"/>
    </xf>
    <xf numFmtId="0" fontId="0" fillId="0" borderId="0" pivotButton="0" quotePrefix="0" xfId="0"/>
    <xf numFmtId="16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tabSelected="1" workbookViewId="0">
      <pane xSplit="1" ySplit="2" topLeftCell="B3" activePane="bottomRight" state="frozen"/>
      <selection pane="topRight" activeCell="A1" sqref="A1"/>
      <selection pane="bottomLeft" activeCell="A1" sqref="A1"/>
      <selection pane="bottomRight" activeCell="B4" sqref="B4"/>
    </sheetView>
  </sheetViews>
  <sheetFormatPr baseColWidth="8" defaultColWidth="9" defaultRowHeight="13.5" customHeight="1" outlineLevelCol="0"/>
  <cols>
    <col width="55.375" customWidth="1" style="5" min="1" max="1"/>
    <col width="56.125" customWidth="1" style="5" min="2" max="2"/>
    <col width="9" customWidth="1" style="4" min="3" max="16384"/>
  </cols>
  <sheetData>
    <row r="1" ht="13.5" customHeight="1" s="9">
      <c r="A1" s="5" t="inlineStr">
        <is>
          <t>文本</t>
        </is>
      </c>
      <c r="B1" s="5" t="inlineStr">
        <is>
          <t>场景</t>
        </is>
      </c>
      <c r="C1" t="inlineStr">
        <is>
          <t>纪要</t>
        </is>
      </c>
      <c r="D1" t="inlineStr">
        <is>
          <t>消耗时间</t>
        </is>
      </c>
      <c r="E1" t="inlineStr">
        <is>
          <t>文本长度</t>
        </is>
      </c>
    </row>
    <row r="2" ht="13.5" customHeight="1" s="9">
      <c r="A2" s="6" t="inlineStr">
        <is>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is>
      </c>
      <c r="B2" s="2" t="inlineStr">
        <is>
          <t>新闻发布</t>
        </is>
      </c>
      <c r="C2" t="inlineStr">
        <is>
          <t># 发布会概况
王毅在慕尼黑安全会议上发表演讲，借用今年慕安会报告主题指出世界走向多极化，提出中国应当推动平等有序的世界多极化，并阐述四点看法：倡导平等相待、尊重国际法治、践行多边主义、坚持开放共赢。王毅表示，中国必将是多极体系中的确定性因素，将坚定做变革世界中的建设性力量。在回应主持人关于国际秩序、乌克兰危机、中美关系等提问时，王毅重申中国维护以联合国为核心的国际体系、通过对话政治解决乌克兰危机、按三原则构建中美关系的立场。整体基调坚定务实，强调中国为不确定世界提供确定性。
# 核心信息
- **多极化趋势**：80年前联合国成立时只有51个会员国，今天是193个国家；中国主张大小国家一律平等，呼吁提升发展中国家在国际体系中的代表性和发言权。
- **国际法治**：中国加入了几乎所有普遍性的政府间国际组织和600多项国际公约，从不搞例外主义，更不搞合则用、不合则弃。
- **多边主义**：中国承担超过20%的联合国会费，切实履行《巴黎协定》，建成了世界上最大的清洁发电体系。
- **全球倡议**：中国提出并落实全球发展倡议、全球安全倡议、全球文明倡议，为完善全球治理提供公共产品。
- **开放共赢**：去年中国GDP增长5%，对世界经济增长的贡献率接近30%；中国愿推动高质量共建“一带一路”，同欧盟的“全球门户”战略相互对接。
- **中欧关系**：今年是中欧建交50周年，中方愿意同欧方用好这一契机，深化战略沟通和互利合作。
# 官方表态
- **平等相待**：坚持权利平等、机会平等、规则平等，应当成为建设多极世界的基本原则；中国主张大小国家一律平等，呼吁提升发展中国家在国际体系中的代表性和发言权。
  &gt; “每一个国家的声音都应该得到倾听。每一个国家都可以在多极格局中找到自身的位置，发挥自己的作用。”
- **尊重国际法治**：联合国宪章宗旨和原则是处理国际关系的根本遵循，也是建设多极世界的重要基石；大国要带头讲诚信、讲法治，坚决摒弃言行不一、零和博弈。
  &gt; “如果没有了规矩，昨天在餐桌上明天就可能在菜单里。”
- **践行多边主义**：联合国是践行多边主义、推进全球治理的核心平台；对于这座大厦，我们应该固本强基，而不是拆梁毁柱。
  &gt; “对于共同挑战应该团结应对，而不是阵营对抗。”
- **坚持开放共赢**：发展是破解各种难题的钥匙，多极世界应该是各国共同发展的世界；保护主义不是出路，滥加关税没有赢家。
  &gt; “脱钩断链断的是机遇，小院高墙封的是自己。”
# Q&amp;A环节
**问**：主持人提到国际秩序受到质疑，并列举俄罗斯入侵乌克兰、美国总统威胁使用武力、中国被指控违反海洋法或世界人权宣言等，询问王毅是否仍相信联合国和联合国宪章，是否推动联合国改革。
**答**：中国是在现行国际秩序中发展起来的，是受益者，要推动秩序朝着更加公正合理的方向发展；需要共同维护以联合国为核心的国际体系，共同遵守以联合国宪章宗旨和原则为基础的国际关系基本准则；只要大家都认同这一点，双重标准就不会出现。
**问**：主持人引用王毅此前关于尊重乌克兰主权和领土完整的表态，称俄罗斯已成为“中国的加油站”，询问中国能否施压俄罗斯结束战争，例如减少购买俄罗斯油气、降低价格或停止部分军民两用物资。
**答**：中俄是两大邻国，建立了结盟不对抗、不针对第三方的睦邻友好关系，交往正常；反问若中国不从俄罗斯买油气，哪个国家能提供如此巨量的油气满足中国民众需求；中国在乌克兰问题上主张通过对话政治解决，从2022年2月25日即危机爆发第2天就提出对话协商解决；习近平主席提出4点主张：各国主权领土完整应得到尊重、联合国宪章应得到遵守、各国合理安全关切应得到重视、一切致力于和平的努力都应得到支持；中国派特使斡旋，同巴西等南方国家发起“和平之友”；中方乐见美国同俄罗斯达成的共识，所有当事方包括利益攸关方都应适时参与和谈，欧洲有必要发挥重要作用。
**问**：主持人请王毅预告中美关系将如何发展。
**答**：中国对美政策保持连续性和稳定性，不会轻易翻烙饼；对美政策是习近平主席提出的三原则：相互尊重、和平共处、合作共赢；中方愿意按照三原则同美方构建稳定健康可持续的双边关系；如果美方仍要对中国打压和遏制，中国必将奉陪到底，坚决维护中国的主权、国家的尊严和正当发展权利。</t>
        </is>
      </c>
      <c r="D2" s="10" t="n">
        <v>53.3</v>
      </c>
      <c r="E2" t="inlineStr">
        <is>
          <t>7004/1800</t>
        </is>
      </c>
    </row>
    <row r="3" ht="13.5" customHeight="1" s="9">
      <c r="A3" s="6" t="inlineStr">
        <is>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is>
      </c>
      <c r="B3" s="2" t="inlineStr">
        <is>
          <t>沟通交流会</t>
        </is>
      </c>
      <c r="C3" t="inlineStr">
        <is>
          <t># 沟通背景与目的
本次直播由电子科技大学电子科学与工程学院面向考生和家长举办，段院、柳教授、张教授、李天明教授及在读博士田雨桐共5位嘉宾依次介绍学院整体情况、电子信息材料与元器件、电磁场与微波技术、电路与系统、物理电子学等学科方向，并解答夏令营等考生问题。学院1956年建校时成立无线电系、电真空器件系、无线电零件系，经1979、1992、2001、2018年四次院系调整成立电子科学与工程学院，2023年成立电子科学与工程学院与基层电路学院；电子科学与技术为国家重点一级学科，下设5个二级学科方向，另有3个国防特色学科。本科生1545人，招生专业为工科试验班（电子工程类），含电子科学技术和电磁场与无线技术两个专业方向；研究生1975人，招生专业涵盖学硕/博士电子科学与技术、硕士材料科学与工程、专业学位博士/硕士电子信息与材料工程。教师302人（教研系139人、科研系95人、教学系14人、实验系21人，教师总数269人，机关33人），师资含两院院士2人、领军人才19人、青年人才28人、其他类型人才12人、博士后61人；拥有2个全国高校黄大年式教师团队，2022年获批4个国家自然科学基金创新群体。近5年科研经费到账稳定在3-4亿元，以纵向项目为主、横向为辅，牵头获国家科技奖励11项，发表高水平论文2000余篇，申请专利1600余件、授权1300余件；20个科研团队中年经费过千万元团队15个、过亿元团队1个；拥有2个国家级平台、4个国际合作平台、7个省部级科研平台。电子信息材料与元器件方向以材料为基础、器件为核心、应用为目标导向，2021年中国集成电路电子产品进口额度达2.8万亿元（约为原有进口量的1.7倍），属我国最紧迫的卡脖子问题之一；研究队伍含国家级人才10余人，主要有邓龙江院士的电磁辐射控制材料与技术团队（研究人员19人，正高13人、副高15人，发表含Nature在内论文300余篇，承担课题130余项，年均到账经费3000多万元，授权发明专利100余项，获国家科技进步/技术发明二等奖共3项）和张怀武教授的磁电薄膜与微型器件团队（研究人员17人，正高15人、副高2人，承担项目100余项，获科技进步二等奖3项，发表SCI论文400余篇，年均到账经费2000余万元）；依托国家电磁辐射控制材料工程技术研究中心和电磁薄膜与集成器件全国重点实验室两个国家级平台，科研面积2万余平米（超精尖3000平），建设两条国家重大任务试验生产线，大型设备/系统500余台套，材料制备设备50余台套、微纳加工设备30台套、材料微观表征设备10余台套、材料性能测试设备50余台套；已获国家技术发明等奖项共7项。毕业生去向包括英特尔、中芯国际、华为、德州仪器等企业及高校科研院所；在读学生杨伟豪以第一作者在自然电子、自然通讯各发表一篇论文，5G滤波器芯片学生团队获挑战杯创新创业大赛四川省金奖，黄飞获2018年四川省优秀毕业生、斯坦福博士全额奖学金，李凤霞读博期间发表论文16篇、一作6篇，严巍获华为光产线优秀合作项目奖、21届王大珞光学奖，博士毕业后以优秀青年学者身份加入苏州大学，万位任河北美泰电子科技公司副总，采用MEMS工艺研制出SIW环形器隔离器，实现高性能非互易器件产业化。电磁场与微波技术包含微波毫米波电路、电波传播与电磁兼容、计算电磁学与工程电子学、天线理论与技术4个细分方向，电路与系统包含非线性电路与复杂电子系统、射频微波电路与系统、集成电路与系统3个方向；电磁场与微波技术学科始于1956年，由林卫干先生和谢楚芳先生创建，形成电磁场与无线技术国家特色专业和电波传播与天线国防紧缺特色专业，所属一级学科电子科学与技术入选双一流A类。电磁场与微波技术有6个团队，学科平台含国家自然基金委创新群体、国家高等学校学科创新引智基地、国家工程技术研究中心、国家级重点实验室，硬件平台拥有中国高校最先进的微波暗室群体及微波毫米波太赫兹仿真测试平台。杨世文教授团队研究四维天线阵列技术，应用于中电14所某大型机载相控阵雷达，在强耦合超宽带相控阵方面取得进展，计算电磁学算法被评为20世纪十大算法之一，电磁测井仪器获国家科技进步二等奖一项并在中海油推广应用；樊勇教授团队研究毫米波平面集成天线，研制出0.22太赫兹、0.34太赫兹、0.42太赫兹雷达成像系统（分辨率小于1厘米），太赫兹通信成果在2023年成都大运会田径项目示范应用；李恩教授团队引领微波毫米波测量技术，有60多年技术积累；延波教授团队引领微波毫米波太赫兹芯片研究，获国家科技重大专项及军科委支持，应用于新一代高速通信系统，在微系统技术方面包含三毫米导引头前端、毫米波引信前端、8毫米宽带收发前端。电路与系统学科1981年开始招收研究生，1988年成立首批博士后流动站，包含教育部国际合作联合实验室及国家高等学校学科创新引智基地，拥有国家级人才4人、新世纪人才2人、教授10人、副教授22人；樊勇教授和李廷军教授团队从事高速磁浮交通38GHz车地通信系统研制，樊勇教授和张教授团队工作在毫米波通信雷达CMOS芯片方向，康凯教授团队在毫米波CMOS芯片方向取得超宽带模块级芯片及5G通信系统和雷达系统成果。人才培养方面连续三年获全国大学生集成电路创新创业大赛奖项，荣获华为优秀合作项目奖、研究生优秀导学团队提名奖，就业领域包括华为、中兴等领军企业及各大研究所高校。物理电子学是物理学与电子科学技术的交叉学科，将物理学最新研究成果应用于电子学产生新电子器件，典型如微波电子学（微波电真空器件）、光电子学（光电器件）；学科特点为内容不断充实（如量子电子学）、学科边界不一定清晰（如光电子学也可属光学工程一级学科）、基础性与前沿性、支撑现代信息技术。本校物理电子学起源于1956年建校时在前苏联专家帮助下成立的电子控器件专业，归属电子器件系；1979年在刘成刚院士带领下成立高能电子学研究所，2001年物理系、应用所、高能所成立物理电子学，2018年物理电子学院、电工学院、微工学院部分成立电子科学与工程学院。经过近70年发展，纵向发展（上游仿真设计、数字模拟材料，下游系统应用）拥有自主知识产权商用软件MMST和切皮克，引入人工智能到器件设计和电子学应用；系统应用方面用回旋行波管研制毫米波雷达、用行波管做无线输能系统、用磁控管做微波能干燥系统；横向发展频段从微波上移到毫米波、太赫兹，与医学交叉利用太赫兹成像提高诊断准确性，利用太赫兹宽频带做保密通信、高速通信。有3个四川省工程中心或重点实验室，每年到校科研经费接近2亿元（为学院最多），是国际上最大的真空器件研究中心，2023年成功举办行业顶级会议，物理电子学方向有9个团队；团队学生出口约1/3硕博连读、1/3去企业、1/3去研究所或其他（公务员等），李天明教授每年约2个研究生毕业、1个博士毕业。在读博士田雨桐（2023级电子科学与技术专业）从学生视角分享选择电子学院的8个理由：成都为四川省会、国家中心城市、新一线城市、国家历史文化名城、古蜀文明发祥地、中国十大古都之一，电子信息产业发达（英特尔、华为、京东方等巨头汇聚）；电子科技大学有电子信息博物馆（记录我国第一台晶体管收音机的诞生），构建了最完整的电子信息学科群；电子科学与技术学科在第4轮学科评估中获A+，稳居全国第一；所在毫米波技术与系统应用团队（负责人樊勇老师）围绕微波毫米波理论与技术、天线理论与技术、元器件与电路、通信技术与系统、雷达成像技术与系统五大方向，团队硕博毕业生实现100%就业率，就业单位包括民营企业、大型央国企和头部科研院所；2021年跨年学校在主楼前用300架无人机拼出UESTC字样；奖助体系含国家奖学金、学业奖学金、专项奖学金、新生奖学金、校园地国家助学贷款、生源地助学贷款等。建议先选团队再选导师，可通过学院网站、文献检索网站（如IEEE、中国知网）了解导师论文和指导研究生情况。主持人（发言者1）和段院（发言者2）解答夏令营问题：电子学院计划今年举办夏令营活动，时间待定，相关信息将通过QQ群（978499108）发布；公布抽奖口令为“一生一世，逐梦未来”，奖品为学校马克杯一套，中奖同学需私信后台留下联系方式和收货地址；本场直播共有5位嘉宾分享。
# 信息同步
**段院（学院领导）**：
- **学院历史**：1956年建校时成立无线电系、电真空器件系、无线电零件系，经1979、1992、2001、2018年四次院系调整成立电子科学与工程学院，2023年成立电子科学与工程学院与基层电路学院。
- **学科设置**：电子科学与技术为国家重点一级学科，下设电磁场与微波技术、电路与系统、微电子学与固体电子学、物理电子学、电磁信息功能材料与机构5个二级学科方向，另有电磁场与微波、军用关键材料、电子元器件3个国防特色学科。
- **人才培养**：本科生现有1545人，招生专业为工科试验班（电子工程类），含电子科学技术（国家特色专业、国家级一流本科专业建设点）和电磁场与无线技术两个专业方向；研究生现有硕士和博士研究生1975人，招生专业涵盖学硕/博士电子科学与技术、硕士材料科学与工程、专业学位博士/硕士电子信息与材料工程。
- **师资队伍**：教师302人（教研系139人、科研系95人、教学系14人、实验系21人，教师总数269人，机关33人），含两院院士2人、领军人才19人、青年人才28人、其他类型人才12人、博士后61人；拥有2个全国高校黄大年式教师团队，2022年获批4个国家自然科学基金创新群体。
- **科研实力**：近5年科研经费到账稳定在3-4亿元，以纵向项目为主、横向为辅，牵头获国家科技奖励11项，发表高水平论文2000余篇，申请专利1600余件、授权1300余件；20个科研团队中年经费过千万元团队15个、过亿元团队1个。
- **平台建设**：拥有国家电子辐射控制材料工程技术研究中心、微波电子工器件国家级重点实验室2个国家级平台，4个国际合作平台、7个省部级科研平台；共建国际姊妹院系2个（香港大学电机工程电子系、香港城市大学电子工程系），主办高水平国际会议13场，学生长短期交流项目20多个。
- **党建荣誉**：学院党委入选教育部首批全国党建工作标杆院系，荣获全国教育系统先进集体。
**柳教授（电子信息材料与元器件方向）**：
- **方向内涵**：以电子在物质中的输运特性（电磁声光热力、化学生物）为基础，设计研究和生产电子器件，以材料为基础、器件为核心、应用为目标导向；2021年中国集成电路电子产品进口额度达2.8万亿元（约为原有进口量的1.7倍），属我国最紧迫的卡脖子问题之一。
- **应用领域**：电子产品应用于6G通讯、量子技术、智慧城市、光电技术、新能源、智能电子等领域，达万亿美元量级；向小型化、多功能、低功耗、智能化发展，元器件向微型化、片式化、集成化、薄膜化、智能化发展，强调材料和器件一体化。
- **研究团队**：含国家级人才10余人，主要有邓龙江院士的电磁辐射控制材料与技术团队（研究人员19人，正高13人、副高15人，发表含Nature在内论文300余篇，承担课题130余项，年均到账经费3000多万元，授权发明专利100余项，获国家科技进步/技术发明二等奖共3项）和张怀武教授的磁电薄膜与微型器件团队（研究人员17人，正高15人、副高2人，承担项目100余项，获科技进步二等奖3项，发表SCI论文400余篇，年均到账经费2000余万元）。
- **科研平台**：依托国家电磁辐射控制材料工程技术研究中心（1990年校级中心，2008、2013年两次升级，开展多频谱涂层、电磁材料与结构、智能材料与结构研究，有成都嘉驰电子科技成果转化基地）和电磁薄膜与集成器件全国重点实验室（2006年依托新型传感器、功率半导体技术、电子信息材料三个部级重点实验室筹建，形成电子聚合物与阵列传感器、功率半导体与集成技术三个重点方向）。
- **研究条件**：科研面积2万余平米（超精尖3000平），建设两条国家重大任务试验生产线，大型设备/系统500余台套；材料制备设备50余台套、微纳加工设备30台套、材料微观表征设备10余台套、材料性能测试设备50余台套。
- **研究成果**：已获国家技术发明等奖项共7项，自然科学及子刊每年有多篇重要文章发表。
- **毕业生去向**：包括英特尔、中芯国际、华为、德州仪器等企业及高校科研院所；在读学生杨伟豪以第一作者在自然电子、自然通讯各发表一篇论文，5G滤波器芯片学生团队获挑战杯创新创业大赛四川省金奖，黄飞获2018年四川省优秀毕业生、斯坦福博士全额奖学金，李凤霞读博期间发表论文16篇、一作6篇，严巍获华为光产线优秀合作项目奖、21届王大珞光学奖，博士毕业后以优秀青年学者身份加入苏州大学，万位任河北美泰电子科技公司副总，采用MEMS工艺研制出SIW环形器隔离器，实现高性能非互易器件产业化。
**张教授（电磁场与微波技术、电路与系统方向）**：
- **专业方向**：电磁场与微波技术包含微波毫米波电路、电波传播与电磁兼容、计算电磁学与工程电子学、天线理论与技术4个细分方向；电路与系统包含非线性电路与复杂电子系统、射频微波电路与系统、集成电路与系统3个方向。
- **学科历史**：电磁场与微波技术学科始于1956年，由林卫干先生和谢楚芳先生创建，形成电磁场与无线技术国家特色专业和电波传播与天线国防紧缺特色专业，所属一级学科电子科学与技术入选双一流A类。
- **研究团队**：电磁场与微波技术有6个团队（电磁辐射与散射、毫米波技术与系统应用、微波毫米波集成电路与系统、电磁兼容技术、微波测试与成像技术、无线技术与集成系统）；学科平台含国家自然基金委创新群体、国家高等学校学科创新引智基地、国家工程技术研究中心、国家级重点实验室，硬件平台拥有中国高校最先进的微波暗室群体及微波毫米波太赫兹仿真测试平台。
- **研究成果**：杨世文教授团队研究四维天线阵列技术，应用于中电14所某大型机载相控阵雷达，在强耦合超宽带相控阵方面取得进展，计算电磁学算法被评为20世纪十大算法之一，电磁测井仪器获国家科技进步二等奖一项并在中海油推广应用；樊勇教授团队研究毫米波平面集成天线，研制出0.22太赫兹、0.34太赫兹、0.42太赫兹雷达成像系统（分辨率小于1厘米），太赫兹通信成果在2023年成都大运会田径项目示范应用；李恩教授团队引领微波毫米波测量技术，有60多年技术积累；延波教授团队引领微波毫米波太赫兹芯片研究，获国家科技重大专项及军科委支持，应用于新一代高速通信系统，在微系统技术方面包含三毫米导引头前端、毫米波引信前端、8毫米宽带收发前端。
- **电路与系统学科**：1981年开始招收研究生，1988年成立首批博士后流动站，包含教育部国际合作联合实验室及国家高等学校学科创新引智基地，拥有国家级人才4人、新世纪人才2人、教授10人、副教授22人；樊勇教授和李廷军教授团队从事高速磁浮交通38GHz车地通信系统研制，樊勇教授和张教授团队工作在毫米波通信雷达CMOS芯片方向，康凯教授团队在毫米波CMOS芯片方向取得超宽带模块级芯片及5G通信系统和雷达系统成果。
- **人才培养**：连续三年获全国大学生集成电路创新创业大赛奖项，荣获华为优秀合作项目奖、研究生优秀导学团队提名奖；就业领域包括华为、中兴等领军企业及各大研究所高校。
**李天明教授（物理电子学方向）**：
- **学科定义**：物理电子学是物理学与电子科学技术的交叉学科，将物理学最新研究成果应用于电子学产生新电子器件，典型如微波电子学（微波电真空器件）、光电子学（光电器件）；学科特点为内容不断充实（如量子电子学）、学科边界不一定清晰（如光电子学也可属光学工程一级学科）、基础性与前沿性、支撑现代信息技术。
- **发展历史**：本校物理电子学起源于1956年建校时在前苏联专家帮助下成立的电子控器件专业，归属电子器件系；1979年在刘成刚院士带领下成立高能电子学研究所，2001年物理系、应用所、高能所成立物理电子学，2018年物理电子学院、电工学院、微工学院部分成立电子科学与工程学院。
- **发展方向**：纵向发展（上游仿真设计、数字模拟材料，下游系统应用）拥有自主知识产权商用软件MMST和切皮克，引入人工智能到器件设计和电子学应用；系统应用方面用回旋行波管研制毫米波雷达、用行波管做无线输能系统、用磁控管做微波能干燥系统；横向发展频段从微波上移到毫米波、太赫兹，与医学交叉利用太赫兹成像提高诊断准确性，利用太赫兹宽频带做保密通信、高速通信。
- **科研实力**：有3个四川省工程中心或重点实验室，每年到校科研经费接近2亿元（为学院最多），是国际上最大的真空器件研究中心，2023年成功举办行业顶级会议，物理电子学方向有9个团队。
- **学生出口**：团队学生出口约1/3硕博连读、1/3去企业、1/3去研究所或其他（公务员等），李天明教授每年约2个研究生毕业、1个博士毕业。
**田雨桐（在读博士）**：
- **选择理由**：成都为四川省会、国家中心城市、新一线城市、国家历史文化名城、古蜀文明发祥地、中国十大古都之一，电子信息产业发达（英特尔、华为、京东方等巨头汇聚）；电子科技大学有电子信息博物馆（记录我国第一台晶体管收音机的诞生），构建了最完整的电子信息学科群；电子科学与技术学科在第4轮学科评估中获A+，稳居全国第一。
- **团队情况**：所在毫米波技术与系统应用团队（负责人樊勇老师）围绕微波毫米波理论与技术、天线理论与技术、元器件与电路、通信技术与系统、雷达成像技术与系统五大方向，团队硕博毕业生实现100%就业率，就业单位包括民营企业、大型央国企和头部科研院所。
- **校园生活**：2021年跨年学校在主楼前用300架无人机拼出UESTC字样。
- **奖助体系**：含国家奖学金、学业奖学金、专项奖学金、新生奖学金、校园地国家助学贷款、生源地助学贷款等。
- **择校建议**：建议先选团队再选导师，可通过学院网站、文献检索网站（如IEEE、中国知网）了解导师论文和指导研究生情况。
# 达成共识
**各方确认的信息**：
- 学院计划今年举办夏令营活动，时间待定，相关信息将通过QQ群（978499108）发布。
- 抽奖口令为“一生一世，逐梦未来”，奖品为学校马克杯一套，中奖同学需私信后台留下联系方式和收货地址。
**关键承诺**：
- **学院承诺**：夏令营相关信息会及时在QQ群发布。段院原话："希望呢同学们感兴趣的话呢加入我们这个QQ群相关的信息呢，我们会唉到时会及时的发布。"
# 待协调事项
**夏令营活动安排**：
- **事项描述**：电子学院计划今年举办夏令营活动，具体时间和形式待定。
- **对接人**：段院（学院领导）。
- **负责人**：段院。
- **预计完成时间或后续沟通计划**：时间待定，相关信息将通过QQ群（978499108）发布。</t>
        </is>
      </c>
      <c r="D3" s="10" t="n">
        <v>138.2</v>
      </c>
      <c r="E3" t="inlineStr">
        <is>
          <t>13887/7817</t>
        </is>
      </c>
    </row>
    <row r="4" ht="13.5" customHeight="1" s="9">
      <c r="A4" s="6" t="inlineStr">
        <is>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is>
      </c>
      <c r="B4" s="2" t="inlineStr">
        <is>
          <t>总结复盘会</t>
        </is>
      </c>
      <c r="C4" t="inlineStr">
        <is>
          <t># 复盘目标与结果概况
本次复盘会为2023年度年终总结会，老板主持，核心议程包括公布年度经营数据与年终奖总额、说明年终奖发放标准、逐人评价员工、颁发五个奖项及抽奖聚餐安排。实际结果：年终奖转账总额226,000元，成本支出390万元，利润率约24%或27%，最高工资（含年终奖）有两三人达20万以上，平均工资到手约1万多元；2023年人员工资比2022年提高约25万，年终奖比去年多1312万多，干满一年的员工从四五人增至12人。公司总量提升是能发年终奖的主要原因，但结余到账往下跑，还有百来万没收回来；老板个人比去年少拿约10万，公司亏损100万。成本控制是最大问题，根源在于老板管理不足，明年开会再讨论。
# 亮点事项
- **账号运营突破**：郭东辉负责的账号从2023年3月1日粉丝719人增长至8万（视频号），小红书从2000+增至6.4万，抖音从2000+增至5.7万，B站从3.1万增至7.6万；转折点是6月20日第一条外出拍摄对话视频，此前潘老师多次提醒放弃，郭东辉坚持并说服潘老师外出拍摄，加上forty加入，项目得以继续。
- **员工表现超预期**：张文倩完成宁波等难活，超出老板期待；宋俊逸第一次安排活就表现好，效率高；张扬作为公司邀请人才，来了半年基本达到期待，老板称2023年最有价值的事是招他进来。
- **后期整体进步**：林海腾指出今年后期分级模糊、效率整体提升，制作能力进步，高强度加班下仍保证质量，体现职业操守。
- **最具复用价值的经验**：**郭东辉破釜沉舟说服潘老师外出拍摄**，以及**坚持用数据支撑决策**（每晚8-9点刷直播间学习同行），是账号起色的关键动作。
# 不足事项
- **成本控制差**：成本支出390万元，利润率仅24%或27%，非常不可观；根因是老板对成本关心或关注不够、不够雷厉风行，出现问题未及时解决。
- **公司结余缩水**：总量提升但结余到账往下跑，还有百来万没收回来，老板个人比去年少拿约10万，公司亏损100万。
- **加班问题严重**：后半年基本都在加班，侵占休息时间；根因是**人不够**，老板未及时招合适人数，判断失误。
- **外援成本高**：部分外援因忙不过来，部分因技术水平达不到；钱德峰指出有些活公司内部可搞定但凑不出人，外援价格差很多。
- **账号未变现**：账号虽有发展但尚未变现，变现是明年期待。
- **拍摄人员不足**：内部人员凑不出来，外援价格高。
# 改进计划
- **成本控制**：明年开会再讨论具体措施，老板承认管理不足，将反思并改进。
- **账号变现**：期待明年开始变现，老板将投入更大精力并给予足够重视。
- **组织协调**：老板将更多进行组织协调，提高效率，减少侵占员工休息时间。
- **商务支持**：老板承认今年对商务部门支持、管理、关心不够，明年反思并给予更多支持帮助。
- **拍摄参与**：鼓励员工参与拍摄，提升自身市场价值，明年朝这个方向靠。
- **加班补贴**：年终奖中已考虑加班因素，补贴一两千元。</t>
        </is>
      </c>
      <c r="D4" s="10" t="n">
        <v>82.8</v>
      </c>
      <c r="E4" t="inlineStr">
        <is>
          <t>24562/1277</t>
        </is>
      </c>
    </row>
    <row r="5" ht="13.5" customHeight="1" s="9">
      <c r="A5" s="6" t="inlineStr">
        <is>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is>
      </c>
      <c r="B5" s="2" t="inlineStr">
        <is>
          <t>通用纪要</t>
        </is>
      </c>
    </row>
    <row r="6" ht="13.5" customHeight="1" s="9">
      <c r="A6" s="6" t="inlineStr">
        <is>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is>
      </c>
      <c r="B6" s="2" t="inlineStr">
        <is>
          <t>工作研讨会</t>
        </is>
      </c>
    </row>
    <row r="7" ht="13.5" customHeight="1" s="9">
      <c r="A7" s="6" t="inlineStr">
        <is>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is>
      </c>
      <c r="B7" s="2" t="inlineStr">
        <is>
          <t>庭审记录</t>
        </is>
      </c>
    </row>
    <row r="8" ht="13.5" customHeight="1" s="9">
      <c r="A8" s="6" t="inlineStr">
        <is>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is>
      </c>
      <c r="B8" s="2" t="inlineStr">
        <is>
          <t>项目进度会</t>
        </is>
      </c>
    </row>
    <row r="9" ht="13.5" customHeight="1" s="9">
      <c r="A9" s="6" t="inlineStr">
        <is>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is>
      </c>
      <c r="B9" s="2" t="inlineStr">
        <is>
          <t>新闻发布</t>
        </is>
      </c>
    </row>
    <row r="10" ht="13.5" customHeight="1" s="9">
      <c r="A10" s="6" t="inlineStr">
        <is>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is>
      </c>
      <c r="B10" s="2" t="inlineStr">
        <is>
          <t>课堂记录</t>
        </is>
      </c>
    </row>
    <row r="11" ht="13.5" customHeight="1" s="9">
      <c r="A11" s="6" t="inlineStr">
        <is>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is>
      </c>
      <c r="B11" s="2" t="inlineStr">
        <is>
          <t>通用纪要</t>
        </is>
      </c>
    </row>
    <row r="12" ht="13.5" customHeight="1" s="9">
      <c r="A12" s="6" t="inlineStr">
        <is>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is>
      </c>
      <c r="B12" s="2" t="inlineStr">
        <is>
          <t>课堂记录</t>
        </is>
      </c>
    </row>
    <row r="13" ht="13.5" customHeight="1" s="9">
      <c r="A13" s="6" t="inlineStr">
        <is>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is>
      </c>
      <c r="B13" s="2" t="inlineStr">
        <is>
          <t>课堂记录</t>
        </is>
      </c>
    </row>
    <row r="14" ht="13.5" customHeight="1" s="9">
      <c r="A14" s="6" t="inlineStr">
        <is>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is>
      </c>
      <c r="B14" s="2" t="inlineStr">
        <is>
          <t>知识笔记</t>
        </is>
      </c>
    </row>
    <row r="15" ht="13.5" customHeight="1" s="9">
      <c r="A15" s="6" t="inlineStr">
        <is>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is>
      </c>
      <c r="B15" s="2" t="inlineStr">
        <is>
          <t>知识笔记</t>
        </is>
      </c>
    </row>
    <row r="16" ht="13.5" customHeight="1" s="9">
      <c r="A16" s="6" t="inlineStr">
        <is>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is>
      </c>
      <c r="B16" s="2" t="inlineStr">
        <is>
          <t>采访记录</t>
        </is>
      </c>
    </row>
    <row r="17" ht="13.5" customHeight="1" s="9">
      <c r="A17" s="6" t="inlineStr">
        <is>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is>
      </c>
      <c r="B17" s="2" t="inlineStr">
        <is>
          <t>就医咨询</t>
        </is>
      </c>
    </row>
    <row r="18" ht="13.5" customHeight="1" s="9">
      <c r="A18" s="6" t="inlineStr">
        <is>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is>
      </c>
      <c r="B18" s="2" t="inlineStr">
        <is>
          <t>庭审记录</t>
        </is>
      </c>
    </row>
    <row r="19" ht="13.5" customHeight="1" s="9">
      <c r="A19" s="6" t="inlineStr">
        <is>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is>
      </c>
      <c r="B19" s="2" t="inlineStr">
        <is>
          <t>面试报告</t>
        </is>
      </c>
    </row>
    <row r="20" ht="13.5" customHeight="1" s="9">
      <c r="A20" s="6" t="inlineStr">
        <is>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is>
      </c>
      <c r="B20" s="2" t="inlineStr">
        <is>
          <t>参观游览</t>
        </is>
      </c>
    </row>
    <row r="21" ht="13.5" customHeight="1" s="9">
      <c r="A21" s="6" t="inlineStr">
        <is>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is>
      </c>
      <c r="B21" s="2" t="inlineStr">
        <is>
          <t>调研访谈</t>
        </is>
      </c>
    </row>
    <row r="22" ht="13.5" customHeight="1" s="9">
      <c r="A22" s="6" t="inlineStr">
        <is>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is>
      </c>
      <c r="B22" s="2" t="inlineStr">
        <is>
          <t>家校沟通</t>
        </is>
      </c>
    </row>
    <row r="23" ht="13.5" customHeight="1" s="9">
      <c r="A23" s="6" t="inlineStr">
        <is>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is>
      </c>
      <c r="B23" s="2" t="inlineStr">
        <is>
          <t>团队例会</t>
        </is>
      </c>
    </row>
    <row r="24" ht="13.5" customHeight="1" s="9">
      <c r="A24" s="6" t="inlineStr">
        <is>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is>
      </c>
      <c r="B24" s="2" t="inlineStr">
        <is>
          <t>就医咨询</t>
        </is>
      </c>
    </row>
    <row r="25" ht="13.5" customHeight="1" s="9">
      <c r="A25" s="6" t="inlineStr">
        <is>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is>
      </c>
      <c r="B25" s="2" t="inlineStr">
        <is>
          <t>专题讲座</t>
        </is>
      </c>
    </row>
    <row r="26" ht="13.5" customHeight="1" s="9">
      <c r="A26" s="6" t="inlineStr">
        <is>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is>
      </c>
      <c r="B26" s="2" t="inlineStr">
        <is>
          <t>辩论会</t>
        </is>
      </c>
    </row>
    <row r="27" ht="13.5" customHeight="1" s="9">
      <c r="A27" s="6" t="inlineStr">
        <is>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is>
      </c>
      <c r="B27" s="2" t="inlineStr">
        <is>
          <t>就医咨询</t>
        </is>
      </c>
    </row>
    <row r="28" ht="13.5" customHeight="1" s="9">
      <c r="A28" s="6" t="inlineStr">
        <is>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is>
      </c>
      <c r="B28" s="2" t="inlineStr">
        <is>
          <t>产品发布</t>
        </is>
      </c>
    </row>
    <row r="29" ht="13.5" customHeight="1" s="9">
      <c r="A29" s="6" t="inlineStr">
        <is>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is>
      </c>
      <c r="B29" s="2" t="inlineStr">
        <is>
          <t>通用纪要</t>
        </is>
      </c>
    </row>
    <row r="30" ht="13.5" customHeight="1" s="9">
      <c r="A30" s="6" t="inlineStr">
        <is>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B30" s="2" t="inlineStr">
        <is>
          <t>政府报告</t>
        </is>
      </c>
    </row>
    <row r="31" ht="13.5" customHeight="1" s="9">
      <c r="A31" s="6" t="inlineStr">
        <is>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is>
      </c>
      <c r="B31" s="2" t="inlineStr">
        <is>
          <t>沟通交流会</t>
        </is>
      </c>
    </row>
    <row r="32" ht="13.5" customHeight="1" s="9">
      <c r="A32" s="6" t="inlineStr">
        <is>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is>
      </c>
      <c r="B32" s="2" t="inlineStr">
        <is>
          <t>课堂记录</t>
        </is>
      </c>
    </row>
    <row r="33" ht="13.5" customHeight="1" s="9">
      <c r="A33" s="6" t="inlineStr">
        <is>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is>
      </c>
      <c r="B33" s="2" t="inlineStr">
        <is>
          <t>政府报告</t>
        </is>
      </c>
    </row>
    <row r="34" ht="13.5" customHeight="1" s="9">
      <c r="A34" s="6" t="inlineStr">
        <is>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is>
      </c>
      <c r="B34" s="2" t="inlineStr">
        <is>
          <t>通用纪要</t>
        </is>
      </c>
    </row>
    <row r="35" ht="13.5" customHeight="1" s="9">
      <c r="A35" s="6" t="inlineStr">
        <is>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is>
      </c>
      <c r="B35" s="2" t="inlineStr">
        <is>
          <t>专题讲座</t>
        </is>
      </c>
    </row>
    <row r="36" ht="13.5" customHeight="1" s="9">
      <c r="A36" s="6" t="inlineStr">
        <is>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is>
      </c>
      <c r="B36" s="2" t="inlineStr">
        <is>
          <t>采访记录</t>
        </is>
      </c>
    </row>
    <row r="37" ht="13.5" customHeight="1" s="9">
      <c r="A37" s="6" t="inlineStr">
        <is>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is>
      </c>
      <c r="B37" s="2" t="inlineStr">
        <is>
          <t>采访记录</t>
        </is>
      </c>
    </row>
    <row r="38" ht="13.5" customHeight="1" s="9">
      <c r="A38" s="6" t="inlineStr">
        <is>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is>
      </c>
      <c r="B38" s="2" t="inlineStr">
        <is>
          <t>专题讲座</t>
        </is>
      </c>
    </row>
    <row r="39" ht="13.5" customHeight="1" s="9">
      <c r="A39" s="6" t="inlineStr">
        <is>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is>
      </c>
      <c r="B39" s="2" t="inlineStr">
        <is>
          <t>通用纪要</t>
        </is>
      </c>
    </row>
    <row r="40" ht="13.5" customHeight="1" s="9">
      <c r="A40" s="6" t="inlineStr">
        <is>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is>
      </c>
      <c r="B40" s="2" t="inlineStr">
        <is>
          <t>通用纪要</t>
        </is>
      </c>
    </row>
    <row r="41" ht="13.5" customHeight="1" s="9">
      <c r="A41" s="6" t="inlineStr">
        <is>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is>
      </c>
      <c r="B41" s="2" t="inlineStr">
        <is>
          <t>小组讨论</t>
        </is>
      </c>
    </row>
    <row r="42" ht="13.5" customHeight="1" s="9">
      <c r="A42" s="6" t="inlineStr">
        <is>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is>
      </c>
      <c r="B42" s="2" t="inlineStr">
        <is>
          <t>小组讨论</t>
        </is>
      </c>
    </row>
    <row r="43" ht="13.5" customHeight="1" s="9">
      <c r="A43" s="6" t="inlineStr">
        <is>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is>
      </c>
      <c r="B43" s="2" t="inlineStr">
        <is>
          <t>通用纪要</t>
        </is>
      </c>
    </row>
    <row r="44" ht="13.5" customHeight="1" s="9">
      <c r="A44" s="6" t="inlineStr">
        <is>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is>
      </c>
      <c r="B44" s="2" t="inlineStr">
        <is>
          <t>专题讲座</t>
        </is>
      </c>
    </row>
    <row r="45" ht="13.5" customHeight="1" s="9">
      <c r="A45" s="6" t="inlineStr">
        <is>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is>
      </c>
      <c r="B45" s="2" t="inlineStr">
        <is>
          <t>对话记录</t>
        </is>
      </c>
    </row>
    <row r="46" ht="13.5" customHeight="1" s="9">
      <c r="A46" s="6" t="inlineStr">
        <is>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is>
      </c>
      <c r="B46" s="2" t="inlineStr">
        <is>
          <t>小组讨论</t>
        </is>
      </c>
    </row>
    <row r="47" ht="13.5" customHeight="1" s="9">
      <c r="A47" s="6" t="inlineStr">
        <is>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is>
      </c>
      <c r="B47" s="2" t="inlineStr">
        <is>
          <t>专题讲座</t>
        </is>
      </c>
    </row>
    <row r="48" ht="13.5" customHeight="1" s="9">
      <c r="A48" s="6" t="inlineStr">
        <is>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is>
      </c>
      <c r="B48" s="2" t="inlineStr">
        <is>
          <t>专题讲座</t>
        </is>
      </c>
    </row>
    <row r="49" ht="13.5" customHeight="1" s="9">
      <c r="A49" s="6" t="inlineStr">
        <is>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is>
      </c>
      <c r="B49" s="2" t="inlineStr">
        <is>
          <t>小组讨论</t>
        </is>
      </c>
    </row>
    <row r="50" ht="13.5" customHeight="1" s="9">
      <c r="A50" s="6" t="inlineStr">
        <is>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is>
      </c>
      <c r="B50" s="2" t="inlineStr">
        <is>
          <t>小组讨论</t>
        </is>
      </c>
    </row>
    <row r="51" ht="13.5" customHeight="1" s="9">
      <c r="A51" s="6" t="inlineStr">
        <is>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is>
      </c>
      <c r="B51" s="2" t="inlineStr">
        <is>
          <t>小组讨论</t>
        </is>
      </c>
    </row>
    <row r="52" ht="13.5" customHeight="1" s="9">
      <c r="A52" s="6" t="inlineStr">
        <is>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is>
      </c>
      <c r="B52" s="2" t="inlineStr">
        <is>
          <t>专题讲座</t>
        </is>
      </c>
    </row>
    <row r="53" ht="13.5" customHeight="1" s="9">
      <c r="A53" s="6" t="inlineStr">
        <is>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is>
      </c>
      <c r="B53" s="2" t="inlineStr">
        <is>
          <t>小组讨论</t>
        </is>
      </c>
    </row>
    <row r="54" ht="13.5" customHeight="1" s="9">
      <c r="A54" s="7" t="inlineStr">
        <is>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is>
      </c>
      <c r="B54" s="7" t="inlineStr">
        <is>
          <t>通用纪要</t>
        </is>
      </c>
    </row>
    <row r="55" ht="13.5" customHeight="1" s="9">
      <c r="A55" s="7" t="inlineStr">
        <is>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is>
      </c>
      <c r="B55" s="7" t="inlineStr">
        <is>
          <t>通用纪要</t>
        </is>
      </c>
    </row>
    <row r="56" ht="13.5" customHeight="1" s="9">
      <c r="A56" s="7" t="inlineStr">
        <is>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is>
      </c>
      <c r="B56" s="7" t="inlineStr">
        <is>
          <t>通用纪要</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3:I8"/>
  <sheetViews>
    <sheetView workbookViewId="0">
      <selection activeCell="B4" sqref="B4:B6"/>
    </sheetView>
  </sheetViews>
  <sheetFormatPr baseColWidth="8" defaultColWidth="9" defaultRowHeight="13.5"/>
  <sheetData>
    <row r="3">
      <c r="D3" s="1" t="inlineStr">
        <is>
          <t>准确性</t>
        </is>
      </c>
      <c r="E3" s="0" t="inlineStr">
        <is>
          <t>相关性</t>
        </is>
      </c>
      <c r="F3" s="0" t="inlineStr">
        <is>
          <t>通顺性</t>
        </is>
      </c>
      <c r="G3" s="0" t="inlineStr">
        <is>
          <t>其它问题</t>
        </is>
      </c>
      <c r="H3" s="1" t="inlineStr">
        <is>
          <t>MOS分</t>
        </is>
      </c>
      <c r="I3" s="1" t="inlineStr">
        <is>
          <t>模板准确性</t>
        </is>
      </c>
    </row>
    <row r="4">
      <c r="B4" s="8" t="inlineStr">
        <is>
          <t>竞品对比</t>
        </is>
      </c>
      <c r="C4" s="1" t="inlineStr">
        <is>
          <t>A</t>
        </is>
      </c>
      <c r="D4" s="0">
        <f>AVERAGE(竞品对比!#REF!)</f>
        <v/>
      </c>
      <c r="E4" s="0">
        <f>AVERAGE(竞品对比!#REF!)</f>
        <v/>
      </c>
      <c r="F4" s="0">
        <f>AVERAGE(竞品对比!#REF!)</f>
        <v/>
      </c>
      <c r="G4" s="3">
        <f>COUNTIF(竞品对比!#REF!,-5)/COUNTIF(竞品对比!#REF!,"&lt;&gt;")</f>
        <v/>
      </c>
      <c r="H4" s="0">
        <f>AVERAGE((竞品对比!#REF!+竞品对比!#REF!+竞品对比!#REF!)/3+竞品对比!#REF!)</f>
        <v/>
      </c>
    </row>
    <row r="5">
      <c r="C5" s="1" t="inlineStr">
        <is>
          <t>B</t>
        </is>
      </c>
      <c r="G5" s="3" t="n"/>
    </row>
    <row r="6">
      <c r="C6" s="1" t="inlineStr">
        <is>
          <t>C</t>
        </is>
      </c>
      <c r="G6" s="3" t="n"/>
    </row>
    <row r="7">
      <c r="B7" s="1" t="inlineStr">
        <is>
          <t>自定义模板</t>
        </is>
      </c>
    </row>
    <row r="8">
      <c r="B8" s="1" t="inlineStr">
        <is>
          <t>智能识别</t>
        </is>
      </c>
      <c r="I8" s="0">
        <f>COUNTIF(#REF!,“可用”)</f>
        <v/>
      </c>
    </row>
  </sheetData>
  <mergeCells count="1">
    <mergeCell ref="B4: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2022-10-11T02:32:00Z</dcterms:created>
  <dcterms:modified xmlns:dcterms="http://purl.org/dc/terms/" xmlns:xsi="http://www.w3.org/2001/XMLSchema-instance" xsi:type="dcterms:W3CDTF">2026-09-17T15:44:24Z</dcterms:modified>
  <cp:lastModifiedBy>houyefei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